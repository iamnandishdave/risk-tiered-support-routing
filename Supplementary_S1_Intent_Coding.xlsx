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203909ad085f09/Documents/Janet/files/"/>
    </mc:Choice>
  </mc:AlternateContent>
  <xr:revisionPtr revIDLastSave="1" documentId="11_B1E6376C05B01F1AC7133AEA873F168CF6912CAE" xr6:coauthVersionLast="47" xr6:coauthVersionMax="47" xr10:uidLastSave="{21295BD2-B2BE-4205-9927-A45D027CADB1}"/>
  <bookViews>
    <workbookView xWindow="-120" yWindow="-120" windowWidth="29040" windowHeight="15720" tabRatio="500" xr2:uid="{00000000-000D-0000-FFFF-FFFF00000000}"/>
  </bookViews>
  <sheets>
    <sheet name="Intent coding" sheetId="1" r:id="rId1"/>
    <sheet name="Main results (test set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8" i="1" l="1"/>
  <c r="B87" i="1"/>
  <c r="B86" i="1"/>
  <c r="B85" i="1"/>
  <c r="B84" i="1"/>
  <c r="I81" i="1"/>
  <c r="H81" i="1"/>
  <c r="E81" i="1"/>
  <c r="I80" i="1"/>
  <c r="H80" i="1"/>
  <c r="E80" i="1"/>
  <c r="I79" i="1"/>
  <c r="H79" i="1"/>
  <c r="E79" i="1"/>
  <c r="I78" i="1"/>
  <c r="H78" i="1"/>
  <c r="E78" i="1"/>
  <c r="I77" i="1"/>
  <c r="H77" i="1"/>
  <c r="E77" i="1"/>
  <c r="I76" i="1"/>
  <c r="H76" i="1"/>
  <c r="E76" i="1"/>
  <c r="I75" i="1"/>
  <c r="H75" i="1"/>
  <c r="E75" i="1"/>
  <c r="I74" i="1"/>
  <c r="H74" i="1"/>
  <c r="E74" i="1"/>
  <c r="I73" i="1"/>
  <c r="H73" i="1"/>
  <c r="E73" i="1"/>
  <c r="I72" i="1"/>
  <c r="H72" i="1"/>
  <c r="E72" i="1"/>
  <c r="I71" i="1"/>
  <c r="H71" i="1"/>
  <c r="E71" i="1"/>
  <c r="I70" i="1"/>
  <c r="H70" i="1"/>
  <c r="E70" i="1"/>
  <c r="I69" i="1"/>
  <c r="H69" i="1"/>
  <c r="E69" i="1"/>
  <c r="I68" i="1"/>
  <c r="H68" i="1"/>
  <c r="E68" i="1"/>
  <c r="I67" i="1"/>
  <c r="H67" i="1"/>
  <c r="E67" i="1"/>
  <c r="I66" i="1"/>
  <c r="H66" i="1"/>
  <c r="E66" i="1"/>
  <c r="I65" i="1"/>
  <c r="H65" i="1"/>
  <c r="E65" i="1"/>
  <c r="I64" i="1"/>
  <c r="H64" i="1"/>
  <c r="E64" i="1"/>
  <c r="I63" i="1"/>
  <c r="H63" i="1"/>
  <c r="E63" i="1"/>
  <c r="I62" i="1"/>
  <c r="H62" i="1"/>
  <c r="E62" i="1"/>
  <c r="I61" i="1"/>
  <c r="H61" i="1"/>
  <c r="E61" i="1"/>
  <c r="I60" i="1"/>
  <c r="H60" i="1"/>
  <c r="E60" i="1"/>
  <c r="I59" i="1"/>
  <c r="H59" i="1"/>
  <c r="E59" i="1"/>
  <c r="I58" i="1"/>
  <c r="H58" i="1"/>
  <c r="E58" i="1"/>
  <c r="I57" i="1"/>
  <c r="H57" i="1"/>
  <c r="E57" i="1"/>
  <c r="I56" i="1"/>
  <c r="H56" i="1"/>
  <c r="E56" i="1"/>
  <c r="I55" i="1"/>
  <c r="H55" i="1"/>
  <c r="E55" i="1"/>
  <c r="I54" i="1"/>
  <c r="H54" i="1"/>
  <c r="E54" i="1"/>
  <c r="I53" i="1"/>
  <c r="H53" i="1"/>
  <c r="E53" i="1"/>
  <c r="I52" i="1"/>
  <c r="H52" i="1"/>
  <c r="E52" i="1"/>
  <c r="I51" i="1"/>
  <c r="H51" i="1"/>
  <c r="E51" i="1"/>
  <c r="I50" i="1"/>
  <c r="H50" i="1"/>
  <c r="E50" i="1"/>
  <c r="I49" i="1"/>
  <c r="H49" i="1"/>
  <c r="E49" i="1"/>
  <c r="I48" i="1"/>
  <c r="H48" i="1"/>
  <c r="E48" i="1"/>
  <c r="I47" i="1"/>
  <c r="H47" i="1"/>
  <c r="E47" i="1"/>
  <c r="I46" i="1"/>
  <c r="H46" i="1"/>
  <c r="E46" i="1"/>
  <c r="I45" i="1"/>
  <c r="H45" i="1"/>
  <c r="E45" i="1"/>
  <c r="I44" i="1"/>
  <c r="H44" i="1"/>
  <c r="E44" i="1"/>
  <c r="I43" i="1"/>
  <c r="H43" i="1"/>
  <c r="E43" i="1"/>
  <c r="I42" i="1"/>
  <c r="H42" i="1"/>
  <c r="E42" i="1"/>
  <c r="I41" i="1"/>
  <c r="H41" i="1"/>
  <c r="E41" i="1"/>
  <c r="I40" i="1"/>
  <c r="H40" i="1"/>
  <c r="E40" i="1"/>
  <c r="I39" i="1"/>
  <c r="H39" i="1"/>
  <c r="E39" i="1"/>
  <c r="I38" i="1"/>
  <c r="H38" i="1"/>
  <c r="E38" i="1"/>
  <c r="I37" i="1"/>
  <c r="H37" i="1"/>
  <c r="E37" i="1"/>
  <c r="I36" i="1"/>
  <c r="H36" i="1"/>
  <c r="E36" i="1"/>
  <c r="I35" i="1"/>
  <c r="H35" i="1"/>
  <c r="E35" i="1"/>
  <c r="I34" i="1"/>
  <c r="H34" i="1"/>
  <c r="E34" i="1"/>
  <c r="I33" i="1"/>
  <c r="H33" i="1"/>
  <c r="E33" i="1"/>
  <c r="I32" i="1"/>
  <c r="H32" i="1"/>
  <c r="E32" i="1"/>
  <c r="I31" i="1"/>
  <c r="H31" i="1"/>
  <c r="E31" i="1"/>
  <c r="I30" i="1"/>
  <c r="H30" i="1"/>
  <c r="E30" i="1"/>
  <c r="I29" i="1"/>
  <c r="H29" i="1"/>
  <c r="E29" i="1"/>
  <c r="I28" i="1"/>
  <c r="H28" i="1"/>
  <c r="E28" i="1"/>
  <c r="I27" i="1"/>
  <c r="H27" i="1"/>
  <c r="E27" i="1"/>
  <c r="I26" i="1"/>
  <c r="H26" i="1"/>
  <c r="E26" i="1"/>
  <c r="I25" i="1"/>
  <c r="H25" i="1"/>
  <c r="E25" i="1"/>
  <c r="I24" i="1"/>
  <c r="H24" i="1"/>
  <c r="E24" i="1"/>
  <c r="I23" i="1"/>
  <c r="H23" i="1"/>
  <c r="E23" i="1"/>
  <c r="I22" i="1"/>
  <c r="H22" i="1"/>
  <c r="E22" i="1"/>
  <c r="I21" i="1"/>
  <c r="H21" i="1"/>
  <c r="E21" i="1"/>
  <c r="I20" i="1"/>
  <c r="H20" i="1"/>
  <c r="E20" i="1"/>
  <c r="I19" i="1"/>
  <c r="H19" i="1"/>
  <c r="E19" i="1"/>
  <c r="I18" i="1"/>
  <c r="H18" i="1"/>
  <c r="E18" i="1"/>
  <c r="I17" i="1"/>
  <c r="H17" i="1"/>
  <c r="E17" i="1"/>
  <c r="I16" i="1"/>
  <c r="H16" i="1"/>
  <c r="E16" i="1"/>
  <c r="I15" i="1"/>
  <c r="H15" i="1"/>
  <c r="E15" i="1"/>
  <c r="I14" i="1"/>
  <c r="H14" i="1"/>
  <c r="E14" i="1"/>
  <c r="I13" i="1"/>
  <c r="H13" i="1"/>
  <c r="E13" i="1"/>
  <c r="I12" i="1"/>
  <c r="H12" i="1"/>
  <c r="E12" i="1"/>
  <c r="I11" i="1"/>
  <c r="H11" i="1"/>
  <c r="E11" i="1"/>
  <c r="I10" i="1"/>
  <c r="H10" i="1"/>
  <c r="E10" i="1"/>
  <c r="I9" i="1"/>
  <c r="H9" i="1"/>
  <c r="E9" i="1"/>
  <c r="I8" i="1"/>
  <c r="H8" i="1"/>
  <c r="E8" i="1"/>
  <c r="I7" i="1"/>
  <c r="H7" i="1"/>
  <c r="E7" i="1"/>
  <c r="I6" i="1"/>
  <c r="H6" i="1"/>
  <c r="E6" i="1"/>
  <c r="I5" i="1"/>
  <c r="H5" i="1"/>
  <c r="E5" i="1"/>
</calcChain>
</file>

<file path=xl/sharedStrings.xml><?xml version="1.0" encoding="utf-8"?>
<sst xmlns="http://schemas.openxmlformats.org/spreadsheetml/2006/main" count="124" uniqueCount="124">
  <si>
    <t>Supplementary S1. Intent-to-tier coding for Banking77 (77 intents)</t>
  </si>
  <si>
    <t>Legend: blue cells = author coding (C, U, I on a 1–3 scale; see Section II-A). Tier is a formula = MAX(C,U,I). Yellow cells = for independent coders 2 and 3 to enter a Tier (1–3). Agreement columns fill automatically.</t>
  </si>
  <si>
    <t>Intent</t>
  </si>
  <si>
    <t>Consequence (C)</t>
  </si>
  <si>
    <t>Uncertainty (U)</t>
  </si>
  <si>
    <t>Irreversibility (I)</t>
  </si>
  <si>
    <t>Tier = MAX(C,U,I)</t>
  </si>
  <si>
    <t>Coder 2 tier</t>
  </si>
  <si>
    <t>Coder 3 tier</t>
  </si>
  <si>
    <t>Coder 2 agrees</t>
  </si>
  <si>
    <t>Coder 3 agrees</t>
  </si>
  <si>
    <t>activate_my_card</t>
  </si>
  <si>
    <t>age_limit</t>
  </si>
  <si>
    <t>apple_pay_or_google_pay</t>
  </si>
  <si>
    <t>atm_support</t>
  </si>
  <si>
    <t>automatic_top_up</t>
  </si>
  <si>
    <t>balance_not_updated_after_bank_transfer</t>
  </si>
  <si>
    <t>balance_not_updated_after_cheque_or_cash_deposit</t>
  </si>
  <si>
    <t>beneficiary_not_allowed</t>
  </si>
  <si>
    <t>cancel_transfer</t>
  </si>
  <si>
    <t>card_about_to_expire</t>
  </si>
  <si>
    <t>card_acceptance</t>
  </si>
  <si>
    <t>card_arrival</t>
  </si>
  <si>
    <t>card_delivery_estimate</t>
  </si>
  <si>
    <t>card_linking</t>
  </si>
  <si>
    <t>card_not_working</t>
  </si>
  <si>
    <t>card_payment_fee_charged</t>
  </si>
  <si>
    <t>card_payment_not_recognised</t>
  </si>
  <si>
    <t>card_payment_wrong_exchange_rate</t>
  </si>
  <si>
    <t>card_swallowed</t>
  </si>
  <si>
    <t>cash_withdrawal_charge</t>
  </si>
  <si>
    <t>cash_withdrawal_not_recognised</t>
  </si>
  <si>
    <t>change_pin</t>
  </si>
  <si>
    <t>compromised_card</t>
  </si>
  <si>
    <t>contactless_not_working</t>
  </si>
  <si>
    <t>country_support</t>
  </si>
  <si>
    <t>declined_card_payment</t>
  </si>
  <si>
    <t>declined_cash_withdrawal</t>
  </si>
  <si>
    <t>declined_transfer</t>
  </si>
  <si>
    <t>direct_debit_payment_not_recognised</t>
  </si>
  <si>
    <t>disposable_card_limits</t>
  </si>
  <si>
    <t>edit_personal_details</t>
  </si>
  <si>
    <t>exchange_charge</t>
  </si>
  <si>
    <t>exchange_rate</t>
  </si>
  <si>
    <t>exchange_via_app</t>
  </si>
  <si>
    <t>extra_charge_on_statement</t>
  </si>
  <si>
    <t>failed_transfer</t>
  </si>
  <si>
    <t>fiat_currency_support</t>
  </si>
  <si>
    <t>get_disposable_virtual_card</t>
  </si>
  <si>
    <t>get_physical_card</t>
  </si>
  <si>
    <t>getting_spare_card</t>
  </si>
  <si>
    <t>getting_virtual_card</t>
  </si>
  <si>
    <t>lost_or_stolen_card</t>
  </si>
  <si>
    <t>lost_or_stolen_phone</t>
  </si>
  <si>
    <t>order_physical_card</t>
  </si>
  <si>
    <t>passcode_forgotten</t>
  </si>
  <si>
    <t>pending_card_payment</t>
  </si>
  <si>
    <t>pending_cash_withdrawal</t>
  </si>
  <si>
    <t>pending_top_up</t>
  </si>
  <si>
    <t>pending_transfer</t>
  </si>
  <si>
    <t>pin_blocked</t>
  </si>
  <si>
    <t>receiving_money</t>
  </si>
  <si>
    <t>Refund_not_showing_up</t>
  </si>
  <si>
    <t>request_refund</t>
  </si>
  <si>
    <t>reverted_card_payment?</t>
  </si>
  <si>
    <t>supported_cards_and_currencies</t>
  </si>
  <si>
    <t>terminate_account</t>
  </si>
  <si>
    <t>top_up_by_bank_transfer_charge</t>
  </si>
  <si>
    <t>top_up_by_card_charge</t>
  </si>
  <si>
    <t>top_up_by_cash_or_cheque</t>
  </si>
  <si>
    <t>top_up_failed</t>
  </si>
  <si>
    <t>top_up_limits</t>
  </si>
  <si>
    <t>top_up_reverted</t>
  </si>
  <si>
    <t>topping_up_by_card</t>
  </si>
  <si>
    <t>transaction_charged_twice</t>
  </si>
  <si>
    <t>transfer_fee_charged</t>
  </si>
  <si>
    <t>transfer_into_account</t>
  </si>
  <si>
    <t>transfer_not_received_by_recipient</t>
  </si>
  <si>
    <t>transfer_timing</t>
  </si>
  <si>
    <t>unable_to_verify_identity</t>
  </si>
  <si>
    <t>verify_my_identity</t>
  </si>
  <si>
    <t>verify_source_of_funds</t>
  </si>
  <si>
    <t>verify_top_up</t>
  </si>
  <si>
    <t>virtual_card_not_working</t>
  </si>
  <si>
    <t>visa_or_mastercard</t>
  </si>
  <si>
    <t>why_verify_identity</t>
  </si>
  <si>
    <t>wrong_amount_of_cash_received</t>
  </si>
  <si>
    <t>wrong_exchange_rate_for_cash_withdrawal</t>
  </si>
  <si>
    <t>Summary</t>
  </si>
  <si>
    <t>Intents in Tier 1</t>
  </si>
  <si>
    <t>Intents in Tier 2</t>
  </si>
  <si>
    <t>Intents in Tier 3</t>
  </si>
  <si>
    <t>Percent agreement, coder 2</t>
  </si>
  <si>
    <t>Percent agreement, coder 3</t>
  </si>
  <si>
    <t>Note: report a chance-corrected agreement statistic (e.g., weighted kappa) in the paper once coders 2 and 3 have completed their columns; percent agreement alone is not sufficient.</t>
  </si>
  <si>
    <t>Output of analysis.py, Banking77 test set (n = 3,080). Mean % [95% bootstrap CI, 1,000 resamples]; tau = 0.8, theta = 0.10. Static values; rerun analysis.py to regenerate.</t>
  </si>
  <si>
    <t>policy</t>
  </si>
  <si>
    <t>automation</t>
  </si>
  <si>
    <t>uar_t3</t>
  </si>
  <si>
    <t>uar_t23</t>
  </si>
  <si>
    <t>harm</t>
  </si>
  <si>
    <t>over_esc_t1</t>
  </si>
  <si>
    <t>under_tier_t3</t>
  </si>
  <si>
    <t>P0 confidence-only</t>
  </si>
  <si>
    <t>76.3 [74.9, 77.9]</t>
  </si>
  <si>
    <t>76.4 [73.4, 79.6]</t>
  </si>
  <si>
    <t>75.4 [73.6, 77.3]</t>
  </si>
  <si>
    <t>1.0 [0.6, 1.4]</t>
  </si>
  <si>
    <t>22.1 [19.7, 24.3]</t>
  </si>
  <si>
    <t>–</t>
  </si>
  <si>
    <t>P1 predicted-intent tier</t>
  </si>
  <si>
    <t>28.5 [27.0, 30.3]</t>
  </si>
  <si>
    <t>0.6 [0.1, 1.3]</t>
  </si>
  <si>
    <t>0.5 [0.2, 0.8]</t>
  </si>
  <si>
    <t>1.0 [0.4, 1.8]</t>
  </si>
  <si>
    <t>22.3 [19.8, 24.5]</t>
  </si>
  <si>
    <t>4.5 [3.0, 6.2]</t>
  </si>
  <si>
    <t>P2 risk-conservative tier</t>
  </si>
  <si>
    <t>28.1 [26.7, 29.9]</t>
  </si>
  <si>
    <t>0.2 [0.0, 0.5]</t>
  </si>
  <si>
    <t>0.3 [0.1, 0.6]</t>
  </si>
  <si>
    <t>0.7 [0.2, 1.3]</t>
  </si>
  <si>
    <t>23.1 [20.7, 25.5]</t>
  </si>
  <si>
    <t>1.4 [0.5, 2.4]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</si>
</sst>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164" fontId="0" fillId="0" borderId="0" xfId="0" applyNumberFormat="1"/>
    <xf numFmtId="0" fontId="2" fillId="0" borderId="0" xfId="0" applyFont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46" customWidth="1"/>
    <col min="2" max="5" width="14" customWidth="1"/>
    <col min="6" max="7" width="12" customWidth="1"/>
    <col min="8" max="9" width="13" customWidth="1"/>
  </cols>
  <sheetData>
    <row r="1" spans="1:9" ht="15.75" x14ac:dyDescent="0.25">
      <c r="A1" s="2" t="s">
        <v>0</v>
      </c>
    </row>
    <row r="2" spans="1:9" ht="37.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25.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</v>
      </c>
      <c r="C5" s="5">
        <v>2</v>
      </c>
      <c r="D5" s="5">
        <v>1</v>
      </c>
      <c r="E5" s="6">
        <f t="shared" ref="E5:E36" si="0">MAX(B5:D5)</f>
        <v>2</v>
      </c>
      <c r="F5" s="7"/>
      <c r="G5" s="7"/>
      <c r="H5" s="4" t="str">
        <f t="shared" ref="H5:H36" si="1">IF(F5="","",IF(F5=E5,1,0))</f>
        <v/>
      </c>
      <c r="I5" s="4" t="str">
        <f t="shared" ref="I5:I36" si="2">IF(G5="","",IF(G5=E5,1,0))</f>
        <v/>
      </c>
    </row>
    <row r="6" spans="1:9" x14ac:dyDescent="0.25">
      <c r="A6" s="4" t="s">
        <v>12</v>
      </c>
      <c r="B6" s="5">
        <v>1</v>
      </c>
      <c r="C6" s="5">
        <v>1</v>
      </c>
      <c r="D6" s="5">
        <v>1</v>
      </c>
      <c r="E6" s="6">
        <f t="shared" si="0"/>
        <v>1</v>
      </c>
      <c r="F6" s="7"/>
      <c r="G6" s="7"/>
      <c r="H6" s="4" t="str">
        <f t="shared" si="1"/>
        <v/>
      </c>
      <c r="I6" s="4" t="str">
        <f t="shared" si="2"/>
        <v/>
      </c>
    </row>
    <row r="7" spans="1:9" x14ac:dyDescent="0.25">
      <c r="A7" s="4" t="s">
        <v>13</v>
      </c>
      <c r="B7" s="5">
        <v>1</v>
      </c>
      <c r="C7" s="5">
        <v>1</v>
      </c>
      <c r="D7" s="5">
        <v>1</v>
      </c>
      <c r="E7" s="6">
        <f t="shared" si="0"/>
        <v>1</v>
      </c>
      <c r="F7" s="7"/>
      <c r="G7" s="7"/>
      <c r="H7" s="4" t="str">
        <f t="shared" si="1"/>
        <v/>
      </c>
      <c r="I7" s="4" t="str">
        <f t="shared" si="2"/>
        <v/>
      </c>
    </row>
    <row r="8" spans="1:9" x14ac:dyDescent="0.25">
      <c r="A8" s="4" t="s">
        <v>14</v>
      </c>
      <c r="B8" s="5">
        <v>1</v>
      </c>
      <c r="C8" s="5">
        <v>1</v>
      </c>
      <c r="D8" s="5">
        <v>1</v>
      </c>
      <c r="E8" s="6">
        <f t="shared" si="0"/>
        <v>1</v>
      </c>
      <c r="F8" s="7"/>
      <c r="G8" s="7"/>
      <c r="H8" s="4" t="str">
        <f t="shared" si="1"/>
        <v/>
      </c>
      <c r="I8" s="4" t="str">
        <f t="shared" si="2"/>
        <v/>
      </c>
    </row>
    <row r="9" spans="1:9" x14ac:dyDescent="0.25">
      <c r="A9" s="4" t="s">
        <v>15</v>
      </c>
      <c r="B9" s="5">
        <v>2</v>
      </c>
      <c r="C9" s="5">
        <v>2</v>
      </c>
      <c r="D9" s="5">
        <v>1</v>
      </c>
      <c r="E9" s="6">
        <f t="shared" si="0"/>
        <v>2</v>
      </c>
      <c r="F9" s="7"/>
      <c r="G9" s="7"/>
      <c r="H9" s="4" t="str">
        <f t="shared" si="1"/>
        <v/>
      </c>
      <c r="I9" s="4" t="str">
        <f t="shared" si="2"/>
        <v/>
      </c>
    </row>
    <row r="10" spans="1:9" x14ac:dyDescent="0.25">
      <c r="A10" s="4" t="s">
        <v>16</v>
      </c>
      <c r="B10" s="5">
        <v>2</v>
      </c>
      <c r="C10" s="5">
        <v>2</v>
      </c>
      <c r="D10" s="5">
        <v>1</v>
      </c>
      <c r="E10" s="6">
        <f t="shared" si="0"/>
        <v>2</v>
      </c>
      <c r="F10" s="7"/>
      <c r="G10" s="7"/>
      <c r="H10" s="4" t="str">
        <f t="shared" si="1"/>
        <v/>
      </c>
      <c r="I10" s="4" t="str">
        <f t="shared" si="2"/>
        <v/>
      </c>
    </row>
    <row r="11" spans="1:9" x14ac:dyDescent="0.25">
      <c r="A11" s="4" t="s">
        <v>17</v>
      </c>
      <c r="B11" s="5">
        <v>2</v>
      </c>
      <c r="C11" s="5">
        <v>2</v>
      </c>
      <c r="D11" s="5">
        <v>1</v>
      </c>
      <c r="E11" s="6">
        <f t="shared" si="0"/>
        <v>2</v>
      </c>
      <c r="F11" s="7"/>
      <c r="G11" s="7"/>
      <c r="H11" s="4" t="str">
        <f t="shared" si="1"/>
        <v/>
      </c>
      <c r="I11" s="4" t="str">
        <f t="shared" si="2"/>
        <v/>
      </c>
    </row>
    <row r="12" spans="1:9" x14ac:dyDescent="0.25">
      <c r="A12" s="4" t="s">
        <v>18</v>
      </c>
      <c r="B12" s="5">
        <v>2</v>
      </c>
      <c r="C12" s="5">
        <v>2</v>
      </c>
      <c r="D12" s="5">
        <v>1</v>
      </c>
      <c r="E12" s="6">
        <f t="shared" si="0"/>
        <v>2</v>
      </c>
      <c r="F12" s="7"/>
      <c r="G12" s="7"/>
      <c r="H12" s="4" t="str">
        <f t="shared" si="1"/>
        <v/>
      </c>
      <c r="I12" s="4" t="str">
        <f t="shared" si="2"/>
        <v/>
      </c>
    </row>
    <row r="13" spans="1:9" x14ac:dyDescent="0.25">
      <c r="A13" s="4" t="s">
        <v>19</v>
      </c>
      <c r="B13" s="5">
        <v>3</v>
      </c>
      <c r="C13" s="5">
        <v>2</v>
      </c>
      <c r="D13" s="5">
        <v>3</v>
      </c>
      <c r="E13" s="6">
        <f t="shared" si="0"/>
        <v>3</v>
      </c>
      <c r="F13" s="7"/>
      <c r="G13" s="7"/>
      <c r="H13" s="4" t="str">
        <f t="shared" si="1"/>
        <v/>
      </c>
      <c r="I13" s="4" t="str">
        <f t="shared" si="2"/>
        <v/>
      </c>
    </row>
    <row r="14" spans="1:9" x14ac:dyDescent="0.25">
      <c r="A14" s="4" t="s">
        <v>20</v>
      </c>
      <c r="B14" s="5">
        <v>1</v>
      </c>
      <c r="C14" s="5">
        <v>1</v>
      </c>
      <c r="D14" s="5">
        <v>1</v>
      </c>
      <c r="E14" s="6">
        <f t="shared" si="0"/>
        <v>1</v>
      </c>
      <c r="F14" s="7"/>
      <c r="G14" s="7"/>
      <c r="H14" s="4" t="str">
        <f t="shared" si="1"/>
        <v/>
      </c>
      <c r="I14" s="4" t="str">
        <f t="shared" si="2"/>
        <v/>
      </c>
    </row>
    <row r="15" spans="1:9" x14ac:dyDescent="0.25">
      <c r="A15" s="4" t="s">
        <v>21</v>
      </c>
      <c r="B15" s="5">
        <v>1</v>
      </c>
      <c r="C15" s="5">
        <v>1</v>
      </c>
      <c r="D15" s="5">
        <v>1</v>
      </c>
      <c r="E15" s="6">
        <f t="shared" si="0"/>
        <v>1</v>
      </c>
      <c r="F15" s="7"/>
      <c r="G15" s="7"/>
      <c r="H15" s="4" t="str">
        <f t="shared" si="1"/>
        <v/>
      </c>
      <c r="I15" s="4" t="str">
        <f t="shared" si="2"/>
        <v/>
      </c>
    </row>
    <row r="16" spans="1:9" x14ac:dyDescent="0.25">
      <c r="A16" s="4" t="s">
        <v>22</v>
      </c>
      <c r="B16" s="5">
        <v>2</v>
      </c>
      <c r="C16" s="5">
        <v>2</v>
      </c>
      <c r="D16" s="5">
        <v>1</v>
      </c>
      <c r="E16" s="6">
        <f t="shared" si="0"/>
        <v>2</v>
      </c>
      <c r="F16" s="7"/>
      <c r="G16" s="7"/>
      <c r="H16" s="4" t="str">
        <f t="shared" si="1"/>
        <v/>
      </c>
      <c r="I16" s="4" t="str">
        <f t="shared" si="2"/>
        <v/>
      </c>
    </row>
    <row r="17" spans="1:9" x14ac:dyDescent="0.25">
      <c r="A17" s="4" t="s">
        <v>23</v>
      </c>
      <c r="B17" s="5">
        <v>1</v>
      </c>
      <c r="C17" s="5">
        <v>1</v>
      </c>
      <c r="D17" s="5">
        <v>1</v>
      </c>
      <c r="E17" s="6">
        <f t="shared" si="0"/>
        <v>1</v>
      </c>
      <c r="F17" s="7"/>
      <c r="G17" s="7"/>
      <c r="H17" s="4" t="str">
        <f t="shared" si="1"/>
        <v/>
      </c>
      <c r="I17" s="4" t="str">
        <f t="shared" si="2"/>
        <v/>
      </c>
    </row>
    <row r="18" spans="1:9" x14ac:dyDescent="0.25">
      <c r="A18" s="4" t="s">
        <v>24</v>
      </c>
      <c r="B18" s="5">
        <v>2</v>
      </c>
      <c r="C18" s="5">
        <v>2</v>
      </c>
      <c r="D18" s="5">
        <v>1</v>
      </c>
      <c r="E18" s="6">
        <f t="shared" si="0"/>
        <v>2</v>
      </c>
      <c r="F18" s="7"/>
      <c r="G18" s="7"/>
      <c r="H18" s="4" t="str">
        <f t="shared" si="1"/>
        <v/>
      </c>
      <c r="I18" s="4" t="str">
        <f t="shared" si="2"/>
        <v/>
      </c>
    </row>
    <row r="19" spans="1:9" x14ac:dyDescent="0.25">
      <c r="A19" s="4" t="s">
        <v>25</v>
      </c>
      <c r="B19" s="5">
        <v>2</v>
      </c>
      <c r="C19" s="5">
        <v>2</v>
      </c>
      <c r="D19" s="5">
        <v>1</v>
      </c>
      <c r="E19" s="6">
        <f t="shared" si="0"/>
        <v>2</v>
      </c>
      <c r="F19" s="7"/>
      <c r="G19" s="7"/>
      <c r="H19" s="4" t="str">
        <f t="shared" si="1"/>
        <v/>
      </c>
      <c r="I19" s="4" t="str">
        <f t="shared" si="2"/>
        <v/>
      </c>
    </row>
    <row r="20" spans="1:9" x14ac:dyDescent="0.25">
      <c r="A20" s="4" t="s">
        <v>26</v>
      </c>
      <c r="B20" s="5">
        <v>2</v>
      </c>
      <c r="C20" s="5">
        <v>2</v>
      </c>
      <c r="D20" s="5">
        <v>1</v>
      </c>
      <c r="E20" s="6">
        <f t="shared" si="0"/>
        <v>2</v>
      </c>
      <c r="F20" s="7"/>
      <c r="G20" s="7"/>
      <c r="H20" s="4" t="str">
        <f t="shared" si="1"/>
        <v/>
      </c>
      <c r="I20" s="4" t="str">
        <f t="shared" si="2"/>
        <v/>
      </c>
    </row>
    <row r="21" spans="1:9" x14ac:dyDescent="0.25">
      <c r="A21" s="4" t="s">
        <v>27</v>
      </c>
      <c r="B21" s="5">
        <v>3</v>
      </c>
      <c r="C21" s="5">
        <v>3</v>
      </c>
      <c r="D21" s="5">
        <v>2</v>
      </c>
      <c r="E21" s="6">
        <f t="shared" si="0"/>
        <v>3</v>
      </c>
      <c r="F21" s="7"/>
      <c r="G21" s="7"/>
      <c r="H21" s="4" t="str">
        <f t="shared" si="1"/>
        <v/>
      </c>
      <c r="I21" s="4" t="str">
        <f t="shared" si="2"/>
        <v/>
      </c>
    </row>
    <row r="22" spans="1:9" x14ac:dyDescent="0.25">
      <c r="A22" s="4" t="s">
        <v>28</v>
      </c>
      <c r="B22" s="5">
        <v>2</v>
      </c>
      <c r="C22" s="5">
        <v>2</v>
      </c>
      <c r="D22" s="5">
        <v>1</v>
      </c>
      <c r="E22" s="6">
        <f t="shared" si="0"/>
        <v>2</v>
      </c>
      <c r="F22" s="7"/>
      <c r="G22" s="7"/>
      <c r="H22" s="4" t="str">
        <f t="shared" si="1"/>
        <v/>
      </c>
      <c r="I22" s="4" t="str">
        <f t="shared" si="2"/>
        <v/>
      </c>
    </row>
    <row r="23" spans="1:9" x14ac:dyDescent="0.25">
      <c r="A23" s="4" t="s">
        <v>29</v>
      </c>
      <c r="B23" s="5">
        <v>2</v>
      </c>
      <c r="C23" s="5">
        <v>2</v>
      </c>
      <c r="D23" s="5">
        <v>2</v>
      </c>
      <c r="E23" s="6">
        <f t="shared" si="0"/>
        <v>2</v>
      </c>
      <c r="F23" s="7"/>
      <c r="G23" s="7"/>
      <c r="H23" s="4" t="str">
        <f t="shared" si="1"/>
        <v/>
      </c>
      <c r="I23" s="4" t="str">
        <f t="shared" si="2"/>
        <v/>
      </c>
    </row>
    <row r="24" spans="1:9" x14ac:dyDescent="0.25">
      <c r="A24" s="4" t="s">
        <v>30</v>
      </c>
      <c r="B24" s="5">
        <v>2</v>
      </c>
      <c r="C24" s="5">
        <v>2</v>
      </c>
      <c r="D24" s="5">
        <v>1</v>
      </c>
      <c r="E24" s="6">
        <f t="shared" si="0"/>
        <v>2</v>
      </c>
      <c r="F24" s="7"/>
      <c r="G24" s="7"/>
      <c r="H24" s="4" t="str">
        <f t="shared" si="1"/>
        <v/>
      </c>
      <c r="I24" s="4" t="str">
        <f t="shared" si="2"/>
        <v/>
      </c>
    </row>
    <row r="25" spans="1:9" x14ac:dyDescent="0.25">
      <c r="A25" s="4" t="s">
        <v>31</v>
      </c>
      <c r="B25" s="5">
        <v>3</v>
      </c>
      <c r="C25" s="5">
        <v>3</v>
      </c>
      <c r="D25" s="5">
        <v>2</v>
      </c>
      <c r="E25" s="6">
        <f t="shared" si="0"/>
        <v>3</v>
      </c>
      <c r="F25" s="7"/>
      <c r="G25" s="7"/>
      <c r="H25" s="4" t="str">
        <f t="shared" si="1"/>
        <v/>
      </c>
      <c r="I25" s="4" t="str">
        <f t="shared" si="2"/>
        <v/>
      </c>
    </row>
    <row r="26" spans="1:9" x14ac:dyDescent="0.25">
      <c r="A26" s="4" t="s">
        <v>32</v>
      </c>
      <c r="B26" s="5">
        <v>3</v>
      </c>
      <c r="C26" s="5">
        <v>2</v>
      </c>
      <c r="D26" s="5">
        <v>2</v>
      </c>
      <c r="E26" s="6">
        <f t="shared" si="0"/>
        <v>3</v>
      </c>
      <c r="F26" s="7"/>
      <c r="G26" s="7"/>
      <c r="H26" s="4" t="str">
        <f t="shared" si="1"/>
        <v/>
      </c>
      <c r="I26" s="4" t="str">
        <f t="shared" si="2"/>
        <v/>
      </c>
    </row>
    <row r="27" spans="1:9" x14ac:dyDescent="0.25">
      <c r="A27" s="4" t="s">
        <v>33</v>
      </c>
      <c r="B27" s="5">
        <v>3</v>
      </c>
      <c r="C27" s="5">
        <v>3</v>
      </c>
      <c r="D27" s="5">
        <v>3</v>
      </c>
      <c r="E27" s="6">
        <f t="shared" si="0"/>
        <v>3</v>
      </c>
      <c r="F27" s="7"/>
      <c r="G27" s="7"/>
      <c r="H27" s="4" t="str">
        <f t="shared" si="1"/>
        <v/>
      </c>
      <c r="I27" s="4" t="str">
        <f t="shared" si="2"/>
        <v/>
      </c>
    </row>
    <row r="28" spans="1:9" x14ac:dyDescent="0.25">
      <c r="A28" s="4" t="s">
        <v>34</v>
      </c>
      <c r="B28" s="5">
        <v>1</v>
      </c>
      <c r="C28" s="5">
        <v>1</v>
      </c>
      <c r="D28" s="5">
        <v>1</v>
      </c>
      <c r="E28" s="6">
        <f t="shared" si="0"/>
        <v>1</v>
      </c>
      <c r="F28" s="7"/>
      <c r="G28" s="7"/>
      <c r="H28" s="4" t="str">
        <f t="shared" si="1"/>
        <v/>
      </c>
      <c r="I28" s="4" t="str">
        <f t="shared" si="2"/>
        <v/>
      </c>
    </row>
    <row r="29" spans="1:9" x14ac:dyDescent="0.25">
      <c r="A29" s="4" t="s">
        <v>35</v>
      </c>
      <c r="B29" s="5">
        <v>1</v>
      </c>
      <c r="C29" s="5">
        <v>1</v>
      </c>
      <c r="D29" s="5">
        <v>1</v>
      </c>
      <c r="E29" s="6">
        <f t="shared" si="0"/>
        <v>1</v>
      </c>
      <c r="F29" s="7"/>
      <c r="G29" s="7"/>
      <c r="H29" s="4" t="str">
        <f t="shared" si="1"/>
        <v/>
      </c>
      <c r="I29" s="4" t="str">
        <f t="shared" si="2"/>
        <v/>
      </c>
    </row>
    <row r="30" spans="1:9" x14ac:dyDescent="0.25">
      <c r="A30" s="4" t="s">
        <v>36</v>
      </c>
      <c r="B30" s="5">
        <v>2</v>
      </c>
      <c r="C30" s="5">
        <v>2</v>
      </c>
      <c r="D30" s="5">
        <v>1</v>
      </c>
      <c r="E30" s="6">
        <f t="shared" si="0"/>
        <v>2</v>
      </c>
      <c r="F30" s="7"/>
      <c r="G30" s="7"/>
      <c r="H30" s="4" t="str">
        <f t="shared" si="1"/>
        <v/>
      </c>
      <c r="I30" s="4" t="str">
        <f t="shared" si="2"/>
        <v/>
      </c>
    </row>
    <row r="31" spans="1:9" x14ac:dyDescent="0.25">
      <c r="A31" s="4" t="s">
        <v>37</v>
      </c>
      <c r="B31" s="5">
        <v>2</v>
      </c>
      <c r="C31" s="5">
        <v>2</v>
      </c>
      <c r="D31" s="5">
        <v>1</v>
      </c>
      <c r="E31" s="6">
        <f t="shared" si="0"/>
        <v>2</v>
      </c>
      <c r="F31" s="7"/>
      <c r="G31" s="7"/>
      <c r="H31" s="4" t="str">
        <f t="shared" si="1"/>
        <v/>
      </c>
      <c r="I31" s="4" t="str">
        <f t="shared" si="2"/>
        <v/>
      </c>
    </row>
    <row r="32" spans="1:9" x14ac:dyDescent="0.25">
      <c r="A32" s="4" t="s">
        <v>38</v>
      </c>
      <c r="B32" s="5">
        <v>2</v>
      </c>
      <c r="C32" s="5">
        <v>2</v>
      </c>
      <c r="D32" s="5">
        <v>1</v>
      </c>
      <c r="E32" s="6">
        <f t="shared" si="0"/>
        <v>2</v>
      </c>
      <c r="F32" s="7"/>
      <c r="G32" s="7"/>
      <c r="H32" s="4" t="str">
        <f t="shared" si="1"/>
        <v/>
      </c>
      <c r="I32" s="4" t="str">
        <f t="shared" si="2"/>
        <v/>
      </c>
    </row>
    <row r="33" spans="1:9" x14ac:dyDescent="0.25">
      <c r="A33" s="4" t="s">
        <v>39</v>
      </c>
      <c r="B33" s="5">
        <v>3</v>
      </c>
      <c r="C33" s="5">
        <v>3</v>
      </c>
      <c r="D33" s="5">
        <v>2</v>
      </c>
      <c r="E33" s="6">
        <f t="shared" si="0"/>
        <v>3</v>
      </c>
      <c r="F33" s="7"/>
      <c r="G33" s="7"/>
      <c r="H33" s="4" t="str">
        <f t="shared" si="1"/>
        <v/>
      </c>
      <c r="I33" s="4" t="str">
        <f t="shared" si="2"/>
        <v/>
      </c>
    </row>
    <row r="34" spans="1:9" x14ac:dyDescent="0.25">
      <c r="A34" s="4" t="s">
        <v>40</v>
      </c>
      <c r="B34" s="5">
        <v>1</v>
      </c>
      <c r="C34" s="5">
        <v>1</v>
      </c>
      <c r="D34" s="5">
        <v>1</v>
      </c>
      <c r="E34" s="6">
        <f t="shared" si="0"/>
        <v>1</v>
      </c>
      <c r="F34" s="7"/>
      <c r="G34" s="7"/>
      <c r="H34" s="4" t="str">
        <f t="shared" si="1"/>
        <v/>
      </c>
      <c r="I34" s="4" t="str">
        <f t="shared" si="2"/>
        <v/>
      </c>
    </row>
    <row r="35" spans="1:9" x14ac:dyDescent="0.25">
      <c r="A35" s="4" t="s">
        <v>41</v>
      </c>
      <c r="B35" s="5">
        <v>3</v>
      </c>
      <c r="C35" s="5">
        <v>3</v>
      </c>
      <c r="D35" s="5">
        <v>2</v>
      </c>
      <c r="E35" s="6">
        <f t="shared" si="0"/>
        <v>3</v>
      </c>
      <c r="F35" s="7"/>
      <c r="G35" s="7"/>
      <c r="H35" s="4" t="str">
        <f t="shared" si="1"/>
        <v/>
      </c>
      <c r="I35" s="4" t="str">
        <f t="shared" si="2"/>
        <v/>
      </c>
    </row>
    <row r="36" spans="1:9" x14ac:dyDescent="0.25">
      <c r="A36" s="4" t="s">
        <v>42</v>
      </c>
      <c r="B36" s="5">
        <v>1</v>
      </c>
      <c r="C36" s="5">
        <v>1</v>
      </c>
      <c r="D36" s="5">
        <v>1</v>
      </c>
      <c r="E36" s="6">
        <f t="shared" si="0"/>
        <v>1</v>
      </c>
      <c r="F36" s="7"/>
      <c r="G36" s="7"/>
      <c r="H36" s="4" t="str">
        <f t="shared" si="1"/>
        <v/>
      </c>
      <c r="I36" s="4" t="str">
        <f t="shared" si="2"/>
        <v/>
      </c>
    </row>
    <row r="37" spans="1:9" x14ac:dyDescent="0.25">
      <c r="A37" s="4" t="s">
        <v>43</v>
      </c>
      <c r="B37" s="5">
        <v>1</v>
      </c>
      <c r="C37" s="5">
        <v>1</v>
      </c>
      <c r="D37" s="5">
        <v>1</v>
      </c>
      <c r="E37" s="6">
        <f t="shared" ref="E37:E68" si="3">MAX(B37:D37)</f>
        <v>1</v>
      </c>
      <c r="F37" s="7"/>
      <c r="G37" s="7"/>
      <c r="H37" s="4" t="str">
        <f t="shared" ref="H37:H68" si="4">IF(F37="","",IF(F37=E37,1,0))</f>
        <v/>
      </c>
      <c r="I37" s="4" t="str">
        <f t="shared" ref="I37:I68" si="5">IF(G37="","",IF(G37=E37,1,0))</f>
        <v/>
      </c>
    </row>
    <row r="38" spans="1:9" x14ac:dyDescent="0.25">
      <c r="A38" s="4" t="s">
        <v>44</v>
      </c>
      <c r="B38" s="5">
        <v>1</v>
      </c>
      <c r="C38" s="5">
        <v>1</v>
      </c>
      <c r="D38" s="5">
        <v>1</v>
      </c>
      <c r="E38" s="6">
        <f t="shared" si="3"/>
        <v>1</v>
      </c>
      <c r="F38" s="7"/>
      <c r="G38" s="7"/>
      <c r="H38" s="4" t="str">
        <f t="shared" si="4"/>
        <v/>
      </c>
      <c r="I38" s="4" t="str">
        <f t="shared" si="5"/>
        <v/>
      </c>
    </row>
    <row r="39" spans="1:9" x14ac:dyDescent="0.25">
      <c r="A39" s="4" t="s">
        <v>45</v>
      </c>
      <c r="B39" s="5">
        <v>2</v>
      </c>
      <c r="C39" s="5">
        <v>2</v>
      </c>
      <c r="D39" s="5">
        <v>1</v>
      </c>
      <c r="E39" s="6">
        <f t="shared" si="3"/>
        <v>2</v>
      </c>
      <c r="F39" s="7"/>
      <c r="G39" s="7"/>
      <c r="H39" s="4" t="str">
        <f t="shared" si="4"/>
        <v/>
      </c>
      <c r="I39" s="4" t="str">
        <f t="shared" si="5"/>
        <v/>
      </c>
    </row>
    <row r="40" spans="1:9" x14ac:dyDescent="0.25">
      <c r="A40" s="4" t="s">
        <v>46</v>
      </c>
      <c r="B40" s="5">
        <v>2</v>
      </c>
      <c r="C40" s="5">
        <v>2</v>
      </c>
      <c r="D40" s="5">
        <v>1</v>
      </c>
      <c r="E40" s="6">
        <f t="shared" si="3"/>
        <v>2</v>
      </c>
      <c r="F40" s="7"/>
      <c r="G40" s="7"/>
      <c r="H40" s="4" t="str">
        <f t="shared" si="4"/>
        <v/>
      </c>
      <c r="I40" s="4" t="str">
        <f t="shared" si="5"/>
        <v/>
      </c>
    </row>
    <row r="41" spans="1:9" x14ac:dyDescent="0.25">
      <c r="A41" s="4" t="s">
        <v>47</v>
      </c>
      <c r="B41" s="5">
        <v>1</v>
      </c>
      <c r="C41" s="5">
        <v>1</v>
      </c>
      <c r="D41" s="5">
        <v>1</v>
      </c>
      <c r="E41" s="6">
        <f t="shared" si="3"/>
        <v>1</v>
      </c>
      <c r="F41" s="7"/>
      <c r="G41" s="7"/>
      <c r="H41" s="4" t="str">
        <f t="shared" si="4"/>
        <v/>
      </c>
      <c r="I41" s="4" t="str">
        <f t="shared" si="5"/>
        <v/>
      </c>
    </row>
    <row r="42" spans="1:9" x14ac:dyDescent="0.25">
      <c r="A42" s="4" t="s">
        <v>48</v>
      </c>
      <c r="B42" s="5">
        <v>1</v>
      </c>
      <c r="C42" s="5">
        <v>1</v>
      </c>
      <c r="D42" s="5">
        <v>1</v>
      </c>
      <c r="E42" s="6">
        <f t="shared" si="3"/>
        <v>1</v>
      </c>
      <c r="F42" s="7"/>
      <c r="G42" s="7"/>
      <c r="H42" s="4" t="str">
        <f t="shared" si="4"/>
        <v/>
      </c>
      <c r="I42" s="4" t="str">
        <f t="shared" si="5"/>
        <v/>
      </c>
    </row>
    <row r="43" spans="1:9" x14ac:dyDescent="0.25">
      <c r="A43" s="4" t="s">
        <v>49</v>
      </c>
      <c r="B43" s="5">
        <v>1</v>
      </c>
      <c r="C43" s="5">
        <v>1</v>
      </c>
      <c r="D43" s="5">
        <v>1</v>
      </c>
      <c r="E43" s="6">
        <f t="shared" si="3"/>
        <v>1</v>
      </c>
      <c r="F43" s="7"/>
      <c r="G43" s="7"/>
      <c r="H43" s="4" t="str">
        <f t="shared" si="4"/>
        <v/>
      </c>
      <c r="I43" s="4" t="str">
        <f t="shared" si="5"/>
        <v/>
      </c>
    </row>
    <row r="44" spans="1:9" x14ac:dyDescent="0.25">
      <c r="A44" s="4" t="s">
        <v>50</v>
      </c>
      <c r="B44" s="5">
        <v>1</v>
      </c>
      <c r="C44" s="5">
        <v>1</v>
      </c>
      <c r="D44" s="5">
        <v>1</v>
      </c>
      <c r="E44" s="6">
        <f t="shared" si="3"/>
        <v>1</v>
      </c>
      <c r="F44" s="7"/>
      <c r="G44" s="7"/>
      <c r="H44" s="4" t="str">
        <f t="shared" si="4"/>
        <v/>
      </c>
      <c r="I44" s="4" t="str">
        <f t="shared" si="5"/>
        <v/>
      </c>
    </row>
    <row r="45" spans="1:9" x14ac:dyDescent="0.25">
      <c r="A45" s="4" t="s">
        <v>51</v>
      </c>
      <c r="B45" s="5">
        <v>1</v>
      </c>
      <c r="C45" s="5">
        <v>1</v>
      </c>
      <c r="D45" s="5">
        <v>1</v>
      </c>
      <c r="E45" s="6">
        <f t="shared" si="3"/>
        <v>1</v>
      </c>
      <c r="F45" s="7"/>
      <c r="G45" s="7"/>
      <c r="H45" s="4" t="str">
        <f t="shared" si="4"/>
        <v/>
      </c>
      <c r="I45" s="4" t="str">
        <f t="shared" si="5"/>
        <v/>
      </c>
    </row>
    <row r="46" spans="1:9" x14ac:dyDescent="0.25">
      <c r="A46" s="4" t="s">
        <v>52</v>
      </c>
      <c r="B46" s="5">
        <v>3</v>
      </c>
      <c r="C46" s="5">
        <v>3</v>
      </c>
      <c r="D46" s="5">
        <v>3</v>
      </c>
      <c r="E46" s="6">
        <f t="shared" si="3"/>
        <v>3</v>
      </c>
      <c r="F46" s="7"/>
      <c r="G46" s="7"/>
      <c r="H46" s="4" t="str">
        <f t="shared" si="4"/>
        <v/>
      </c>
      <c r="I46" s="4" t="str">
        <f t="shared" si="5"/>
        <v/>
      </c>
    </row>
    <row r="47" spans="1:9" x14ac:dyDescent="0.25">
      <c r="A47" s="4" t="s">
        <v>53</v>
      </c>
      <c r="B47" s="5">
        <v>3</v>
      </c>
      <c r="C47" s="5">
        <v>3</v>
      </c>
      <c r="D47" s="5">
        <v>3</v>
      </c>
      <c r="E47" s="6">
        <f t="shared" si="3"/>
        <v>3</v>
      </c>
      <c r="F47" s="7"/>
      <c r="G47" s="7"/>
      <c r="H47" s="4" t="str">
        <f t="shared" si="4"/>
        <v/>
      </c>
      <c r="I47" s="4" t="str">
        <f t="shared" si="5"/>
        <v/>
      </c>
    </row>
    <row r="48" spans="1:9" x14ac:dyDescent="0.25">
      <c r="A48" s="4" t="s">
        <v>54</v>
      </c>
      <c r="B48" s="5">
        <v>2</v>
      </c>
      <c r="C48" s="5">
        <v>2</v>
      </c>
      <c r="D48" s="5">
        <v>1</v>
      </c>
      <c r="E48" s="6">
        <f t="shared" si="3"/>
        <v>2</v>
      </c>
      <c r="F48" s="7"/>
      <c r="G48" s="7"/>
      <c r="H48" s="4" t="str">
        <f t="shared" si="4"/>
        <v/>
      </c>
      <c r="I48" s="4" t="str">
        <f t="shared" si="5"/>
        <v/>
      </c>
    </row>
    <row r="49" spans="1:9" x14ac:dyDescent="0.25">
      <c r="A49" s="4" t="s">
        <v>55</v>
      </c>
      <c r="B49" s="5">
        <v>3</v>
      </c>
      <c r="C49" s="5">
        <v>3</v>
      </c>
      <c r="D49" s="5">
        <v>3</v>
      </c>
      <c r="E49" s="6">
        <f t="shared" si="3"/>
        <v>3</v>
      </c>
      <c r="F49" s="7"/>
      <c r="G49" s="7"/>
      <c r="H49" s="4" t="str">
        <f t="shared" si="4"/>
        <v/>
      </c>
      <c r="I49" s="4" t="str">
        <f t="shared" si="5"/>
        <v/>
      </c>
    </row>
    <row r="50" spans="1:9" x14ac:dyDescent="0.25">
      <c r="A50" s="4" t="s">
        <v>56</v>
      </c>
      <c r="B50" s="5">
        <v>2</v>
      </c>
      <c r="C50" s="5">
        <v>2</v>
      </c>
      <c r="D50" s="5">
        <v>1</v>
      </c>
      <c r="E50" s="6">
        <f t="shared" si="3"/>
        <v>2</v>
      </c>
      <c r="F50" s="7"/>
      <c r="G50" s="7"/>
      <c r="H50" s="4" t="str">
        <f t="shared" si="4"/>
        <v/>
      </c>
      <c r="I50" s="4" t="str">
        <f t="shared" si="5"/>
        <v/>
      </c>
    </row>
    <row r="51" spans="1:9" x14ac:dyDescent="0.25">
      <c r="A51" s="4" t="s">
        <v>57</v>
      </c>
      <c r="B51" s="5">
        <v>2</v>
      </c>
      <c r="C51" s="5">
        <v>2</v>
      </c>
      <c r="D51" s="5">
        <v>1</v>
      </c>
      <c r="E51" s="6">
        <f t="shared" si="3"/>
        <v>2</v>
      </c>
      <c r="F51" s="7"/>
      <c r="G51" s="7"/>
      <c r="H51" s="4" t="str">
        <f t="shared" si="4"/>
        <v/>
      </c>
      <c r="I51" s="4" t="str">
        <f t="shared" si="5"/>
        <v/>
      </c>
    </row>
    <row r="52" spans="1:9" x14ac:dyDescent="0.25">
      <c r="A52" s="4" t="s">
        <v>58</v>
      </c>
      <c r="B52" s="5">
        <v>2</v>
      </c>
      <c r="C52" s="5">
        <v>2</v>
      </c>
      <c r="D52" s="5">
        <v>1</v>
      </c>
      <c r="E52" s="6">
        <f t="shared" si="3"/>
        <v>2</v>
      </c>
      <c r="F52" s="7"/>
      <c r="G52" s="7"/>
      <c r="H52" s="4" t="str">
        <f t="shared" si="4"/>
        <v/>
      </c>
      <c r="I52" s="4" t="str">
        <f t="shared" si="5"/>
        <v/>
      </c>
    </row>
    <row r="53" spans="1:9" x14ac:dyDescent="0.25">
      <c r="A53" s="4" t="s">
        <v>59</v>
      </c>
      <c r="B53" s="5">
        <v>2</v>
      </c>
      <c r="C53" s="5">
        <v>2</v>
      </c>
      <c r="D53" s="5">
        <v>1</v>
      </c>
      <c r="E53" s="6">
        <f t="shared" si="3"/>
        <v>2</v>
      </c>
      <c r="F53" s="7"/>
      <c r="G53" s="7"/>
      <c r="H53" s="4" t="str">
        <f t="shared" si="4"/>
        <v/>
      </c>
      <c r="I53" s="4" t="str">
        <f t="shared" si="5"/>
        <v/>
      </c>
    </row>
    <row r="54" spans="1:9" x14ac:dyDescent="0.25">
      <c r="A54" s="4" t="s">
        <v>60</v>
      </c>
      <c r="B54" s="5">
        <v>3</v>
      </c>
      <c r="C54" s="5">
        <v>3</v>
      </c>
      <c r="D54" s="5">
        <v>2</v>
      </c>
      <c r="E54" s="6">
        <f t="shared" si="3"/>
        <v>3</v>
      </c>
      <c r="F54" s="7"/>
      <c r="G54" s="7"/>
      <c r="H54" s="4" t="str">
        <f t="shared" si="4"/>
        <v/>
      </c>
      <c r="I54" s="4" t="str">
        <f t="shared" si="5"/>
        <v/>
      </c>
    </row>
    <row r="55" spans="1:9" x14ac:dyDescent="0.25">
      <c r="A55" s="4" t="s">
        <v>61</v>
      </c>
      <c r="B55" s="5">
        <v>1</v>
      </c>
      <c r="C55" s="5">
        <v>1</v>
      </c>
      <c r="D55" s="5">
        <v>1</v>
      </c>
      <c r="E55" s="6">
        <f t="shared" si="3"/>
        <v>1</v>
      </c>
      <c r="F55" s="7"/>
      <c r="G55" s="7"/>
      <c r="H55" s="4" t="str">
        <f t="shared" si="4"/>
        <v/>
      </c>
      <c r="I55" s="4" t="str">
        <f t="shared" si="5"/>
        <v/>
      </c>
    </row>
    <row r="56" spans="1:9" x14ac:dyDescent="0.25">
      <c r="A56" s="4" t="s">
        <v>62</v>
      </c>
      <c r="B56" s="5">
        <v>2</v>
      </c>
      <c r="C56" s="5">
        <v>2</v>
      </c>
      <c r="D56" s="5">
        <v>1</v>
      </c>
      <c r="E56" s="6">
        <f t="shared" si="3"/>
        <v>2</v>
      </c>
      <c r="F56" s="7"/>
      <c r="G56" s="7"/>
      <c r="H56" s="4" t="str">
        <f t="shared" si="4"/>
        <v/>
      </c>
      <c r="I56" s="4" t="str">
        <f t="shared" si="5"/>
        <v/>
      </c>
    </row>
    <row r="57" spans="1:9" x14ac:dyDescent="0.25">
      <c r="A57" s="4" t="s">
        <v>63</v>
      </c>
      <c r="B57" s="5">
        <v>2</v>
      </c>
      <c r="C57" s="5">
        <v>2</v>
      </c>
      <c r="D57" s="5">
        <v>1</v>
      </c>
      <c r="E57" s="6">
        <f t="shared" si="3"/>
        <v>2</v>
      </c>
      <c r="F57" s="7"/>
      <c r="G57" s="7"/>
      <c r="H57" s="4" t="str">
        <f t="shared" si="4"/>
        <v/>
      </c>
      <c r="I57" s="4" t="str">
        <f t="shared" si="5"/>
        <v/>
      </c>
    </row>
    <row r="58" spans="1:9" x14ac:dyDescent="0.25">
      <c r="A58" s="4" t="s">
        <v>64</v>
      </c>
      <c r="B58" s="5">
        <v>2</v>
      </c>
      <c r="C58" s="5">
        <v>2</v>
      </c>
      <c r="D58" s="5">
        <v>1</v>
      </c>
      <c r="E58" s="6">
        <f t="shared" si="3"/>
        <v>2</v>
      </c>
      <c r="F58" s="7"/>
      <c r="G58" s="7"/>
      <c r="H58" s="4" t="str">
        <f t="shared" si="4"/>
        <v/>
      </c>
      <c r="I58" s="4" t="str">
        <f t="shared" si="5"/>
        <v/>
      </c>
    </row>
    <row r="59" spans="1:9" x14ac:dyDescent="0.25">
      <c r="A59" s="4" t="s">
        <v>65</v>
      </c>
      <c r="B59" s="5">
        <v>1</v>
      </c>
      <c r="C59" s="5">
        <v>1</v>
      </c>
      <c r="D59" s="5">
        <v>1</v>
      </c>
      <c r="E59" s="6">
        <f t="shared" si="3"/>
        <v>1</v>
      </c>
      <c r="F59" s="7"/>
      <c r="G59" s="7"/>
      <c r="H59" s="4" t="str">
        <f t="shared" si="4"/>
        <v/>
      </c>
      <c r="I59" s="4" t="str">
        <f t="shared" si="5"/>
        <v/>
      </c>
    </row>
    <row r="60" spans="1:9" x14ac:dyDescent="0.25">
      <c r="A60" s="4" t="s">
        <v>66</v>
      </c>
      <c r="B60" s="5">
        <v>3</v>
      </c>
      <c r="C60" s="5">
        <v>3</v>
      </c>
      <c r="D60" s="5">
        <v>3</v>
      </c>
      <c r="E60" s="6">
        <f t="shared" si="3"/>
        <v>3</v>
      </c>
      <c r="F60" s="7"/>
      <c r="G60" s="7"/>
      <c r="H60" s="4" t="str">
        <f t="shared" si="4"/>
        <v/>
      </c>
      <c r="I60" s="4" t="str">
        <f t="shared" si="5"/>
        <v/>
      </c>
    </row>
    <row r="61" spans="1:9" x14ac:dyDescent="0.25">
      <c r="A61" s="4" t="s">
        <v>67</v>
      </c>
      <c r="B61" s="5">
        <v>1</v>
      </c>
      <c r="C61" s="5">
        <v>1</v>
      </c>
      <c r="D61" s="5">
        <v>1</v>
      </c>
      <c r="E61" s="6">
        <f t="shared" si="3"/>
        <v>1</v>
      </c>
      <c r="F61" s="7"/>
      <c r="G61" s="7"/>
      <c r="H61" s="4" t="str">
        <f t="shared" si="4"/>
        <v/>
      </c>
      <c r="I61" s="4" t="str">
        <f t="shared" si="5"/>
        <v/>
      </c>
    </row>
    <row r="62" spans="1:9" x14ac:dyDescent="0.25">
      <c r="A62" s="4" t="s">
        <v>68</v>
      </c>
      <c r="B62" s="5">
        <v>1</v>
      </c>
      <c r="C62" s="5">
        <v>1</v>
      </c>
      <c r="D62" s="5">
        <v>1</v>
      </c>
      <c r="E62" s="6">
        <f t="shared" si="3"/>
        <v>1</v>
      </c>
      <c r="F62" s="7"/>
      <c r="G62" s="7"/>
      <c r="H62" s="4" t="str">
        <f t="shared" si="4"/>
        <v/>
      </c>
      <c r="I62" s="4" t="str">
        <f t="shared" si="5"/>
        <v/>
      </c>
    </row>
    <row r="63" spans="1:9" x14ac:dyDescent="0.25">
      <c r="A63" s="4" t="s">
        <v>69</v>
      </c>
      <c r="B63" s="5">
        <v>1</v>
      </c>
      <c r="C63" s="5">
        <v>1</v>
      </c>
      <c r="D63" s="5">
        <v>1</v>
      </c>
      <c r="E63" s="6">
        <f t="shared" si="3"/>
        <v>1</v>
      </c>
      <c r="F63" s="7"/>
      <c r="G63" s="7"/>
      <c r="H63" s="4" t="str">
        <f t="shared" si="4"/>
        <v/>
      </c>
      <c r="I63" s="4" t="str">
        <f t="shared" si="5"/>
        <v/>
      </c>
    </row>
    <row r="64" spans="1:9" x14ac:dyDescent="0.25">
      <c r="A64" s="4" t="s">
        <v>70</v>
      </c>
      <c r="B64" s="5">
        <v>2</v>
      </c>
      <c r="C64" s="5">
        <v>2</v>
      </c>
      <c r="D64" s="5">
        <v>1</v>
      </c>
      <c r="E64" s="6">
        <f t="shared" si="3"/>
        <v>2</v>
      </c>
      <c r="F64" s="7"/>
      <c r="G64" s="7"/>
      <c r="H64" s="4" t="str">
        <f t="shared" si="4"/>
        <v/>
      </c>
      <c r="I64" s="4" t="str">
        <f t="shared" si="5"/>
        <v/>
      </c>
    </row>
    <row r="65" spans="1:9" x14ac:dyDescent="0.25">
      <c r="A65" s="4" t="s">
        <v>71</v>
      </c>
      <c r="B65" s="5">
        <v>1</v>
      </c>
      <c r="C65" s="5">
        <v>1</v>
      </c>
      <c r="D65" s="5">
        <v>1</v>
      </c>
      <c r="E65" s="6">
        <f t="shared" si="3"/>
        <v>1</v>
      </c>
      <c r="F65" s="7"/>
      <c r="G65" s="7"/>
      <c r="H65" s="4" t="str">
        <f t="shared" si="4"/>
        <v/>
      </c>
      <c r="I65" s="4" t="str">
        <f t="shared" si="5"/>
        <v/>
      </c>
    </row>
    <row r="66" spans="1:9" x14ac:dyDescent="0.25">
      <c r="A66" s="4" t="s">
        <v>72</v>
      </c>
      <c r="B66" s="5">
        <v>2</v>
      </c>
      <c r="C66" s="5">
        <v>2</v>
      </c>
      <c r="D66" s="5">
        <v>1</v>
      </c>
      <c r="E66" s="6">
        <f t="shared" si="3"/>
        <v>2</v>
      </c>
      <c r="F66" s="7"/>
      <c r="G66" s="7"/>
      <c r="H66" s="4" t="str">
        <f t="shared" si="4"/>
        <v/>
      </c>
      <c r="I66" s="4" t="str">
        <f t="shared" si="5"/>
        <v/>
      </c>
    </row>
    <row r="67" spans="1:9" x14ac:dyDescent="0.25">
      <c r="A67" s="4" t="s">
        <v>73</v>
      </c>
      <c r="B67" s="5">
        <v>1</v>
      </c>
      <c r="C67" s="5">
        <v>1</v>
      </c>
      <c r="D67" s="5">
        <v>1</v>
      </c>
      <c r="E67" s="6">
        <f t="shared" si="3"/>
        <v>1</v>
      </c>
      <c r="F67" s="7"/>
      <c r="G67" s="7"/>
      <c r="H67" s="4" t="str">
        <f t="shared" si="4"/>
        <v/>
      </c>
      <c r="I67" s="4" t="str">
        <f t="shared" si="5"/>
        <v/>
      </c>
    </row>
    <row r="68" spans="1:9" x14ac:dyDescent="0.25">
      <c r="A68" s="4" t="s">
        <v>74</v>
      </c>
      <c r="B68" s="5">
        <v>2</v>
      </c>
      <c r="C68" s="5">
        <v>2</v>
      </c>
      <c r="D68" s="5">
        <v>1</v>
      </c>
      <c r="E68" s="6">
        <f t="shared" si="3"/>
        <v>2</v>
      </c>
      <c r="F68" s="7"/>
      <c r="G68" s="7"/>
      <c r="H68" s="4" t="str">
        <f t="shared" si="4"/>
        <v/>
      </c>
      <c r="I68" s="4" t="str">
        <f t="shared" si="5"/>
        <v/>
      </c>
    </row>
    <row r="69" spans="1:9" x14ac:dyDescent="0.25">
      <c r="A69" s="4" t="s">
        <v>75</v>
      </c>
      <c r="B69" s="5">
        <v>2</v>
      </c>
      <c r="C69" s="5">
        <v>2</v>
      </c>
      <c r="D69" s="5">
        <v>1</v>
      </c>
      <c r="E69" s="6">
        <f t="shared" ref="E69:E100" si="6">MAX(B69:D69)</f>
        <v>2</v>
      </c>
      <c r="F69" s="7"/>
      <c r="G69" s="7"/>
      <c r="H69" s="4" t="str">
        <f t="shared" ref="H69:H81" si="7">IF(F69="","",IF(F69=E69,1,0))</f>
        <v/>
      </c>
      <c r="I69" s="4" t="str">
        <f t="shared" ref="I69:I81" si="8">IF(G69="","",IF(G69=E69,1,0))</f>
        <v/>
      </c>
    </row>
    <row r="70" spans="1:9" x14ac:dyDescent="0.25">
      <c r="A70" s="4" t="s">
        <v>76</v>
      </c>
      <c r="B70" s="5">
        <v>1</v>
      </c>
      <c r="C70" s="5">
        <v>1</v>
      </c>
      <c r="D70" s="5">
        <v>1</v>
      </c>
      <c r="E70" s="6">
        <f t="shared" si="6"/>
        <v>1</v>
      </c>
      <c r="F70" s="7"/>
      <c r="G70" s="7"/>
      <c r="H70" s="4" t="str">
        <f t="shared" si="7"/>
        <v/>
      </c>
      <c r="I70" s="4" t="str">
        <f t="shared" si="8"/>
        <v/>
      </c>
    </row>
    <row r="71" spans="1:9" x14ac:dyDescent="0.25">
      <c r="A71" s="4" t="s">
        <v>77</v>
      </c>
      <c r="B71" s="5">
        <v>3</v>
      </c>
      <c r="C71" s="5">
        <v>2</v>
      </c>
      <c r="D71" s="5">
        <v>3</v>
      </c>
      <c r="E71" s="6">
        <f t="shared" si="6"/>
        <v>3</v>
      </c>
      <c r="F71" s="7"/>
      <c r="G71" s="7"/>
      <c r="H71" s="4" t="str">
        <f t="shared" si="7"/>
        <v/>
      </c>
      <c r="I71" s="4" t="str">
        <f t="shared" si="8"/>
        <v/>
      </c>
    </row>
    <row r="72" spans="1:9" x14ac:dyDescent="0.25">
      <c r="A72" s="4" t="s">
        <v>78</v>
      </c>
      <c r="B72" s="5">
        <v>1</v>
      </c>
      <c r="C72" s="5">
        <v>1</v>
      </c>
      <c r="D72" s="5">
        <v>1</v>
      </c>
      <c r="E72" s="6">
        <f t="shared" si="6"/>
        <v>1</v>
      </c>
      <c r="F72" s="7"/>
      <c r="G72" s="7"/>
      <c r="H72" s="4" t="str">
        <f t="shared" si="7"/>
        <v/>
      </c>
      <c r="I72" s="4" t="str">
        <f t="shared" si="8"/>
        <v/>
      </c>
    </row>
    <row r="73" spans="1:9" x14ac:dyDescent="0.25">
      <c r="A73" s="4" t="s">
        <v>79</v>
      </c>
      <c r="B73" s="5">
        <v>3</v>
      </c>
      <c r="C73" s="5">
        <v>3</v>
      </c>
      <c r="D73" s="5">
        <v>2</v>
      </c>
      <c r="E73" s="6">
        <f t="shared" si="6"/>
        <v>3</v>
      </c>
      <c r="F73" s="7"/>
      <c r="G73" s="7"/>
      <c r="H73" s="4" t="str">
        <f t="shared" si="7"/>
        <v/>
      </c>
      <c r="I73" s="4" t="str">
        <f t="shared" si="8"/>
        <v/>
      </c>
    </row>
    <row r="74" spans="1:9" x14ac:dyDescent="0.25">
      <c r="A74" s="4" t="s">
        <v>80</v>
      </c>
      <c r="B74" s="5">
        <v>3</v>
      </c>
      <c r="C74" s="5">
        <v>3</v>
      </c>
      <c r="D74" s="5">
        <v>2</v>
      </c>
      <c r="E74" s="6">
        <f t="shared" si="6"/>
        <v>3</v>
      </c>
      <c r="F74" s="7"/>
      <c r="G74" s="7"/>
      <c r="H74" s="4" t="str">
        <f t="shared" si="7"/>
        <v/>
      </c>
      <c r="I74" s="4" t="str">
        <f t="shared" si="8"/>
        <v/>
      </c>
    </row>
    <row r="75" spans="1:9" x14ac:dyDescent="0.25">
      <c r="A75" s="4" t="s">
        <v>81</v>
      </c>
      <c r="B75" s="5">
        <v>2</v>
      </c>
      <c r="C75" s="5">
        <v>3</v>
      </c>
      <c r="D75" s="5">
        <v>2</v>
      </c>
      <c r="E75" s="6">
        <f t="shared" si="6"/>
        <v>3</v>
      </c>
      <c r="F75" s="7"/>
      <c r="G75" s="7"/>
      <c r="H75" s="4" t="str">
        <f t="shared" si="7"/>
        <v/>
      </c>
      <c r="I75" s="4" t="str">
        <f t="shared" si="8"/>
        <v/>
      </c>
    </row>
    <row r="76" spans="1:9" x14ac:dyDescent="0.25">
      <c r="A76" s="4" t="s">
        <v>82</v>
      </c>
      <c r="B76" s="5">
        <v>2</v>
      </c>
      <c r="C76" s="5">
        <v>2</v>
      </c>
      <c r="D76" s="5">
        <v>1</v>
      </c>
      <c r="E76" s="6">
        <f t="shared" si="6"/>
        <v>2</v>
      </c>
      <c r="F76" s="7"/>
      <c r="G76" s="7"/>
      <c r="H76" s="4" t="str">
        <f t="shared" si="7"/>
        <v/>
      </c>
      <c r="I76" s="4" t="str">
        <f t="shared" si="8"/>
        <v/>
      </c>
    </row>
    <row r="77" spans="1:9" x14ac:dyDescent="0.25">
      <c r="A77" s="4" t="s">
        <v>83</v>
      </c>
      <c r="B77" s="5">
        <v>2</v>
      </c>
      <c r="C77" s="5">
        <v>2</v>
      </c>
      <c r="D77" s="5">
        <v>1</v>
      </c>
      <c r="E77" s="6">
        <f t="shared" si="6"/>
        <v>2</v>
      </c>
      <c r="F77" s="7"/>
      <c r="G77" s="7"/>
      <c r="H77" s="4" t="str">
        <f t="shared" si="7"/>
        <v/>
      </c>
      <c r="I77" s="4" t="str">
        <f t="shared" si="8"/>
        <v/>
      </c>
    </row>
    <row r="78" spans="1:9" x14ac:dyDescent="0.25">
      <c r="A78" s="4" t="s">
        <v>84</v>
      </c>
      <c r="B78" s="5">
        <v>1</v>
      </c>
      <c r="C78" s="5">
        <v>1</v>
      </c>
      <c r="D78" s="5">
        <v>1</v>
      </c>
      <c r="E78" s="6">
        <f t="shared" si="6"/>
        <v>1</v>
      </c>
      <c r="F78" s="7"/>
      <c r="G78" s="7"/>
      <c r="H78" s="4" t="str">
        <f t="shared" si="7"/>
        <v/>
      </c>
      <c r="I78" s="4" t="str">
        <f t="shared" si="8"/>
        <v/>
      </c>
    </row>
    <row r="79" spans="1:9" x14ac:dyDescent="0.25">
      <c r="A79" s="4" t="s">
        <v>85</v>
      </c>
      <c r="B79" s="5">
        <v>1</v>
      </c>
      <c r="C79" s="5">
        <v>1</v>
      </c>
      <c r="D79" s="5">
        <v>1</v>
      </c>
      <c r="E79" s="6">
        <f t="shared" si="6"/>
        <v>1</v>
      </c>
      <c r="F79" s="7"/>
      <c r="G79" s="7"/>
      <c r="H79" s="4" t="str">
        <f t="shared" si="7"/>
        <v/>
      </c>
      <c r="I79" s="4" t="str">
        <f t="shared" si="8"/>
        <v/>
      </c>
    </row>
    <row r="80" spans="1:9" x14ac:dyDescent="0.25">
      <c r="A80" s="4" t="s">
        <v>86</v>
      </c>
      <c r="B80" s="5">
        <v>2</v>
      </c>
      <c r="C80" s="5">
        <v>2</v>
      </c>
      <c r="D80" s="5">
        <v>2</v>
      </c>
      <c r="E80" s="6">
        <f t="shared" si="6"/>
        <v>2</v>
      </c>
      <c r="F80" s="7"/>
      <c r="G80" s="7"/>
      <c r="H80" s="4" t="str">
        <f t="shared" si="7"/>
        <v/>
      </c>
      <c r="I80" s="4" t="str">
        <f t="shared" si="8"/>
        <v/>
      </c>
    </row>
    <row r="81" spans="1:9" x14ac:dyDescent="0.25">
      <c r="A81" s="4" t="s">
        <v>87</v>
      </c>
      <c r="B81" s="5">
        <v>2</v>
      </c>
      <c r="C81" s="5">
        <v>2</v>
      </c>
      <c r="D81" s="5">
        <v>1</v>
      </c>
      <c r="E81" s="6">
        <f t="shared" si="6"/>
        <v>2</v>
      </c>
      <c r="F81" s="7"/>
      <c r="G81" s="7"/>
      <c r="H81" s="4" t="str">
        <f t="shared" si="7"/>
        <v/>
      </c>
      <c r="I81" s="4" t="str">
        <f t="shared" si="8"/>
        <v/>
      </c>
    </row>
    <row r="83" spans="1:9" x14ac:dyDescent="0.25">
      <c r="A83" s="8" t="s">
        <v>88</v>
      </c>
    </row>
    <row r="84" spans="1:9" x14ac:dyDescent="0.25">
      <c r="A84" s="4" t="s">
        <v>89</v>
      </c>
      <c r="B84" s="4">
        <f>COUNTIF(E5:E81,1)</f>
        <v>28</v>
      </c>
    </row>
    <row r="85" spans="1:9" x14ac:dyDescent="0.25">
      <c r="A85" s="4" t="s">
        <v>90</v>
      </c>
      <c r="B85" s="4">
        <f>COUNTIF(E5:E81,2)</f>
        <v>33</v>
      </c>
    </row>
    <row r="86" spans="1:9" x14ac:dyDescent="0.25">
      <c r="A86" s="4" t="s">
        <v>91</v>
      </c>
      <c r="B86" s="4">
        <f>COUNTIF(E5:E81,3)</f>
        <v>16</v>
      </c>
    </row>
    <row r="87" spans="1:9" x14ac:dyDescent="0.25">
      <c r="A87" s="4" t="s">
        <v>92</v>
      </c>
      <c r="B87" s="9" t="str">
        <f>IF(COUNT(F5:F81)=0,"",SUM(H5:H81)/COUNT(F5:F81))</f>
        <v/>
      </c>
    </row>
    <row r="88" spans="1:9" x14ac:dyDescent="0.25">
      <c r="A88" s="4" t="s">
        <v>93</v>
      </c>
      <c r="B88" s="9" t="str">
        <f>IF(COUNT(G5:G81)=0,"",SUM(I5:I81)/COUNT(G5:G81))</f>
        <v/>
      </c>
    </row>
    <row r="90" spans="1:9" x14ac:dyDescent="0.25">
      <c r="A90" s="10" t="s">
        <v>94</v>
      </c>
    </row>
  </sheetData>
  <mergeCells count="1">
    <mergeCell ref="A2:I2"/>
  </mergeCells>
  <dataValidations count="1">
    <dataValidation type="whole" allowBlank="1" sqref="B5:D81 F5:G81" xr:uid="{00000000-0002-0000-0000-000000000000}">
      <formula1>1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/>
  </sheetViews>
  <sheetFormatPr defaultColWidth="8.7109375" defaultRowHeight="15" x14ac:dyDescent="0.25"/>
  <cols>
    <col min="1" max="7" width="26" customWidth="1"/>
  </cols>
  <sheetData>
    <row r="1" spans="1:7" x14ac:dyDescent="0.25">
      <c r="A1" s="10" t="s">
        <v>95</v>
      </c>
    </row>
    <row r="3" spans="1:7" x14ac:dyDescent="0.25">
      <c r="A3" s="11" t="s">
        <v>96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101</v>
      </c>
      <c r="G3" s="11" t="s">
        <v>102</v>
      </c>
    </row>
    <row r="4" spans="1:7" x14ac:dyDescent="0.25">
      <c r="A4" s="4" t="s">
        <v>103</v>
      </c>
      <c r="B4" s="4" t="s">
        <v>104</v>
      </c>
      <c r="C4" s="4" t="s">
        <v>105</v>
      </c>
      <c r="D4" s="4" t="s">
        <v>106</v>
      </c>
      <c r="E4" s="4" t="s">
        <v>107</v>
      </c>
      <c r="F4" s="4" t="s">
        <v>108</v>
      </c>
      <c r="G4" s="4" t="s">
        <v>109</v>
      </c>
    </row>
    <row r="5" spans="1:7" x14ac:dyDescent="0.25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  <c r="G5" s="4" t="s">
        <v>116</v>
      </c>
    </row>
    <row r="6" spans="1:7" x14ac:dyDescent="0.25">
      <c r="A6" s="4" t="s">
        <v>117</v>
      </c>
      <c r="B6" s="4" t="s">
        <v>118</v>
      </c>
      <c r="C6" s="4" t="s">
        <v>119</v>
      </c>
      <c r="D6" s="4" t="s">
        <v>120</v>
      </c>
      <c r="E6" s="4" t="s">
        <v>121</v>
      </c>
      <c r="F6" s="4" t="s">
        <v>122</v>
      </c>
      <c r="G6" s="4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 coding</vt:lpstr>
      <vt:lpstr>Main results (test set)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Aduragbemi Arowolo</cp:lastModifiedBy>
  <cp:revision>0</cp:revision>
  <dcterms:created xsi:type="dcterms:W3CDTF">2026-09-24T22:10:31Z</dcterms:created>
  <dcterms:modified xsi:type="dcterms:W3CDTF">2026-09-26T19:06:45Z</dcterms:modified>
  <dc:language>en-US</dc:language>
</cp:coreProperties>
</file>